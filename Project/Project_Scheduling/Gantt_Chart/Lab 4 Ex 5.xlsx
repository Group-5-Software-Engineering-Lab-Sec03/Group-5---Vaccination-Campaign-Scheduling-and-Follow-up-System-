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ahmadraza/Desktop/COE420/COE420L/"/>
    </mc:Choice>
  </mc:AlternateContent>
  <xr:revisionPtr revIDLastSave="0" documentId="13_ncr:1_{B3B56452-E828-724D-89A0-0710B2B599C4}" xr6:coauthVersionLast="47" xr6:coauthVersionMax="47" xr10:uidLastSave="{00000000-0000-0000-0000-000000000000}"/>
  <bookViews>
    <workbookView xWindow="860" yWindow="2000" windowWidth="27640" windowHeight="16000" xr2:uid="{4402E2D2-5F47-3E42-90D8-A8D5385B974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F8" i="1" s="1"/>
  <c r="E7" i="1"/>
  <c r="F7" i="1" s="1"/>
  <c r="E4" i="1"/>
  <c r="F4" i="1" s="1"/>
  <c r="E5" i="1" s="1"/>
  <c r="F5" i="1" s="1"/>
  <c r="F3" i="1"/>
  <c r="E9" i="1" l="1"/>
  <c r="F9" i="1" s="1"/>
  <c r="E6" i="1"/>
  <c r="F6" i="1" s="1"/>
  <c r="E11" i="1" l="1"/>
  <c r="F11" i="1" s="1"/>
  <c r="E12" i="1" s="1"/>
  <c r="F12" i="1" s="1"/>
  <c r="E10" i="1"/>
  <c r="F10" i="1" s="1"/>
  <c r="E13" i="1" l="1"/>
  <c r="F13" i="1" s="1"/>
  <c r="E15" i="1" s="1"/>
  <c r="F15" i="1" s="1"/>
  <c r="E16" i="1" s="1"/>
  <c r="F16" i="1" s="1"/>
  <c r="E17" i="1" s="1"/>
  <c r="F17" i="1" s="1"/>
  <c r="E14" i="1"/>
  <c r="F14" i="1" s="1"/>
</calcChain>
</file>

<file path=xl/sharedStrings.xml><?xml version="1.0" encoding="utf-8"?>
<sst xmlns="http://schemas.openxmlformats.org/spreadsheetml/2006/main" count="53" uniqueCount="45">
  <si>
    <t>Vaccination Scheduling System Exercise 5</t>
  </si>
  <si>
    <t>Task ID</t>
  </si>
  <si>
    <t>Task Name</t>
  </si>
  <si>
    <t>Predecessors</t>
  </si>
  <si>
    <t>Duration</t>
  </si>
  <si>
    <t>ES in Start</t>
  </si>
  <si>
    <t>EF in Finish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</si>
  <si>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</si>
  <si>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</si>
  <si>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</si>
  <si>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</si>
  <si>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</si>
  <si>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</si>
  <si>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</si>
  <si>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</si>
  <si>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</si>
  <si>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</si>
  <si>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</si>
  <si>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</si>
  <si>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</si>
  <si>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</si>
  <si>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</si>
  <si>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Requirements and Model Review</t>
  </si>
  <si>
    <t>—</t>
  </si>
  <si>
    <t>Development Environment and Database Setup</t>
  </si>
  <si>
    <t>Database Schema Design</t>
  </si>
  <si>
    <t>Vaccine Reference Data Setup</t>
  </si>
  <si>
    <t>Patient Interface Design</t>
  </si>
  <si>
    <t>Nurse and Staff Interface Design</t>
  </si>
  <si>
    <t>Authentication and Role Management</t>
  </si>
  <si>
    <t>Appointment and Waitlist Module</t>
  </si>
  <si>
    <t>T4, T5, T7</t>
  </si>
  <si>
    <t>Eligibility and Dose Administration Module</t>
  </si>
  <si>
    <t>T4, T6, T7</t>
  </si>
  <si>
    <t>Overdue Flagging Orchestration</t>
  </si>
  <si>
    <t>T4, T9</t>
  </si>
  <si>
    <t>Reminders and Notifications</t>
  </si>
  <si>
    <t>T8, T10</t>
  </si>
  <si>
    <t>Dashboard, History and Reports</t>
  </si>
  <si>
    <t>T8, T9</t>
  </si>
  <si>
    <t>System Integration</t>
  </si>
  <si>
    <t>T10, T11, T12</t>
  </si>
  <si>
    <t>Testing</t>
  </si>
  <si>
    <t>Deployment Preparation and User Guide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</si>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</sst>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3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2F75B5"/>
        </patternFill>
      </fill>
    </dxf>
    <dxf>
      <fill>
        <patternFill>
          <bgColor rgb="FFC00000"/>
        </patternFill>
      </fill>
    </dxf>
    <dxf>
      <fill>
        <patternFill>
          <bgColor rgb="FF2F75B5"/>
        </patternFill>
      </fill>
    </dxf>
    <dxf>
      <fill>
        <patternFill>
          <bgColor rgb="FFC00000"/>
        </patternFill>
      </fill>
    </dxf>
    <dxf>
      <fill>
        <patternFill>
          <bgColor rgb="FF2F75B5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D13E-AF85-884B-B7C8-834892934CA3}">
  <dimension ref="A1:AX17"/>
  <sheetViews>
    <sheetView tabSelected="1" zoomScale="43" workbookViewId="0">
      <selection activeCell="G5" sqref="G5"/>
    </sheetView>
  </sheetViews>
  <sheetFormatPr baseColWidth="10" defaultColWidth="36.5" defaultRowHeight="72" customHeight="1" x14ac:dyDescent="0.2"/>
  <sheetData>
    <row r="1" spans="1:50" ht="72" customHeight="1" x14ac:dyDescent="0.25">
      <c r="A1" s="1" t="s">
        <v>0</v>
      </c>
      <c r="B1" s="1"/>
      <c r="C1" s="1"/>
      <c r="D1" s="1"/>
      <c r="E1" s="1"/>
      <c r="F1" s="1"/>
    </row>
    <row r="2" spans="1:50" ht="7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>
        <v>1</v>
      </c>
      <c r="H2" s="7">
        <v>2</v>
      </c>
      <c r="I2" s="7">
        <v>3</v>
      </c>
      <c r="J2" s="7">
        <v>4</v>
      </c>
      <c r="K2" s="7">
        <v>5</v>
      </c>
      <c r="L2" s="7">
        <v>6</v>
      </c>
      <c r="M2" s="7">
        <v>7</v>
      </c>
      <c r="N2" s="7">
        <v>8</v>
      </c>
      <c r="O2" s="7">
        <v>9</v>
      </c>
      <c r="P2" s="7">
        <v>10</v>
      </c>
      <c r="Q2" s="7">
        <v>11</v>
      </c>
      <c r="R2" s="7">
        <v>12</v>
      </c>
      <c r="S2" s="7">
        <v>13</v>
      </c>
      <c r="T2" s="7">
        <v>14</v>
      </c>
      <c r="U2" s="7">
        <v>15</v>
      </c>
      <c r="V2" s="7">
        <v>16</v>
      </c>
      <c r="W2" s="7">
        <v>17</v>
      </c>
      <c r="X2" s="7">
        <v>18</v>
      </c>
      <c r="Y2" s="7">
        <v>19</v>
      </c>
      <c r="Z2" s="7">
        <v>20</v>
      </c>
      <c r="AA2" s="7">
        <v>21</v>
      </c>
      <c r="AB2" s="7">
        <v>22</v>
      </c>
      <c r="AC2" s="7">
        <v>23</v>
      </c>
      <c r="AD2" s="7">
        <v>24</v>
      </c>
      <c r="AE2" s="7">
        <v>25</v>
      </c>
      <c r="AF2" s="7">
        <v>26</v>
      </c>
      <c r="AG2" s="7">
        <v>27</v>
      </c>
      <c r="AH2" s="7">
        <v>28</v>
      </c>
      <c r="AI2" s="7">
        <v>29</v>
      </c>
      <c r="AJ2" s="7">
        <v>30</v>
      </c>
      <c r="AK2" s="7">
        <v>31</v>
      </c>
      <c r="AL2" s="7">
        <v>32</v>
      </c>
      <c r="AM2" s="7">
        <v>33</v>
      </c>
      <c r="AN2" s="7">
        <v>34</v>
      </c>
      <c r="AO2" s="7">
        <v>35</v>
      </c>
      <c r="AP2" s="7">
        <v>36</v>
      </c>
      <c r="AQ2" s="7">
        <v>37</v>
      </c>
      <c r="AR2" s="7">
        <v>38</v>
      </c>
      <c r="AS2" s="7">
        <v>39</v>
      </c>
      <c r="AT2" s="7">
        <v>40</v>
      </c>
      <c r="AU2" s="7">
        <v>41</v>
      </c>
      <c r="AV2" s="7">
        <v>42</v>
      </c>
      <c r="AW2" s="7">
        <v>43</v>
      </c>
      <c r="AX2" s="7">
        <v>44</v>
      </c>
    </row>
    <row r="3" spans="1:50" ht="72" customHeight="1" x14ac:dyDescent="0.2">
      <c r="A3" s="2" t="s">
        <v>7</v>
      </c>
      <c r="B3" s="3" t="s">
        <v>22</v>
      </c>
      <c r="C3" s="8" t="s">
        <v>23</v>
      </c>
      <c r="D3" s="8">
        <v>3</v>
      </c>
      <c r="E3" s="8">
        <v>1</v>
      </c>
      <c r="F3" s="9">
        <f t="shared" ref="F3:F17" si="0">E3+D3-1</f>
        <v>3</v>
      </c>
      <c r="G3" s="5"/>
      <c r="H3" s="5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ht="72" customHeight="1" x14ac:dyDescent="0.2">
      <c r="A4" s="2" t="s">
        <v>8</v>
      </c>
      <c r="B4" s="3" t="s">
        <v>24</v>
      </c>
      <c r="C4" s="8" t="s">
        <v>7</v>
      </c>
      <c r="D4" s="8">
        <v>2</v>
      </c>
      <c r="E4" s="8">
        <f>MAX(F3)+1</f>
        <v>4</v>
      </c>
      <c r="F4" s="9">
        <f t="shared" si="0"/>
        <v>5</v>
      </c>
      <c r="G4" s="4"/>
      <c r="H4" s="4"/>
      <c r="I4" s="4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ht="72" customHeight="1" x14ac:dyDescent="0.2">
      <c r="A5" s="2" t="s">
        <v>9</v>
      </c>
      <c r="B5" s="3" t="s">
        <v>25</v>
      </c>
      <c r="C5" s="8" t="s">
        <v>8</v>
      </c>
      <c r="D5" s="8">
        <v>3</v>
      </c>
      <c r="E5" s="8">
        <f>MAX(F4)+1</f>
        <v>6</v>
      </c>
      <c r="F5" s="9">
        <f t="shared" si="0"/>
        <v>8</v>
      </c>
      <c r="G5" s="4"/>
      <c r="H5" s="4"/>
      <c r="I5" s="4"/>
      <c r="J5" s="4"/>
      <c r="K5" s="4"/>
      <c r="L5" s="5"/>
      <c r="M5" s="5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ht="72" customHeight="1" x14ac:dyDescent="0.2">
      <c r="A6" s="2" t="s">
        <v>10</v>
      </c>
      <c r="B6" s="3" t="s">
        <v>26</v>
      </c>
      <c r="C6" s="8" t="s">
        <v>9</v>
      </c>
      <c r="D6" s="8">
        <v>2</v>
      </c>
      <c r="E6" s="8">
        <f>MAX(F5)+1</f>
        <v>9</v>
      </c>
      <c r="F6" s="9">
        <f t="shared" si="0"/>
        <v>10</v>
      </c>
      <c r="G6" s="4"/>
      <c r="H6" s="4"/>
      <c r="I6" s="4"/>
      <c r="J6" s="4"/>
      <c r="K6" s="4"/>
      <c r="L6" s="4"/>
      <c r="M6" s="4"/>
      <c r="N6" s="4"/>
      <c r="O6" s="6"/>
      <c r="P6" s="6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ht="72" customHeight="1" x14ac:dyDescent="0.2">
      <c r="A7" s="2" t="s">
        <v>11</v>
      </c>
      <c r="B7" s="3" t="s">
        <v>27</v>
      </c>
      <c r="C7" s="8" t="s">
        <v>7</v>
      </c>
      <c r="D7" s="8">
        <v>3</v>
      </c>
      <c r="E7" s="8">
        <f>MAX(F3)+1</f>
        <v>4</v>
      </c>
      <c r="F7" s="9">
        <f t="shared" si="0"/>
        <v>6</v>
      </c>
      <c r="G7" s="4"/>
      <c r="H7" s="4"/>
      <c r="I7" s="4"/>
      <c r="J7" s="6"/>
      <c r="K7" s="6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72" customHeight="1" x14ac:dyDescent="0.2">
      <c r="A8" s="2" t="s">
        <v>12</v>
      </c>
      <c r="B8" s="3" t="s">
        <v>28</v>
      </c>
      <c r="C8" s="8" t="s">
        <v>7</v>
      </c>
      <c r="D8" s="8">
        <v>3</v>
      </c>
      <c r="E8" s="8">
        <f>MAX(F3)+1</f>
        <v>4</v>
      </c>
      <c r="F8" s="9">
        <f t="shared" si="0"/>
        <v>6</v>
      </c>
      <c r="G8" s="4"/>
      <c r="H8" s="4"/>
      <c r="I8" s="4"/>
      <c r="J8" s="6"/>
      <c r="K8" s="6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ht="72" customHeight="1" x14ac:dyDescent="0.2">
      <c r="A9" s="2" t="s">
        <v>13</v>
      </c>
      <c r="B9" s="3" t="s">
        <v>29</v>
      </c>
      <c r="C9" s="8" t="s">
        <v>9</v>
      </c>
      <c r="D9" s="8">
        <v>5</v>
      </c>
      <c r="E9" s="8">
        <f>MAX(F5)+1</f>
        <v>9</v>
      </c>
      <c r="F9" s="9">
        <f t="shared" si="0"/>
        <v>13</v>
      </c>
      <c r="G9" s="4"/>
      <c r="H9" s="4"/>
      <c r="I9" s="4"/>
      <c r="J9" s="4"/>
      <c r="K9" s="4"/>
      <c r="L9" s="4"/>
      <c r="M9" s="4"/>
      <c r="N9" s="4"/>
      <c r="O9" s="5"/>
      <c r="P9" s="5"/>
      <c r="Q9" s="5"/>
      <c r="R9" s="5"/>
      <c r="S9" s="5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ht="72" customHeight="1" x14ac:dyDescent="0.2">
      <c r="A10" s="2" t="s">
        <v>14</v>
      </c>
      <c r="B10" s="3" t="s">
        <v>30</v>
      </c>
      <c r="C10" s="8" t="s">
        <v>31</v>
      </c>
      <c r="D10" s="8">
        <v>8</v>
      </c>
      <c r="E10" s="8">
        <f>MAX(F6,F7,F9)+1</f>
        <v>14</v>
      </c>
      <c r="F10" s="9">
        <f t="shared" si="0"/>
        <v>21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6"/>
      <c r="U10" s="6"/>
      <c r="V10" s="6"/>
      <c r="W10" s="6"/>
      <c r="X10" s="6"/>
      <c r="Y10" s="6"/>
      <c r="Z10" s="6"/>
      <c r="AA10" s="6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ht="72" customHeight="1" x14ac:dyDescent="0.2">
      <c r="A11" s="2" t="s">
        <v>15</v>
      </c>
      <c r="B11" s="3" t="s">
        <v>32</v>
      </c>
      <c r="C11" s="8" t="s">
        <v>33</v>
      </c>
      <c r="D11" s="8">
        <v>7</v>
      </c>
      <c r="E11" s="8">
        <f>MAX(F6,F8,F9)+1</f>
        <v>14</v>
      </c>
      <c r="F11" s="9">
        <f t="shared" si="0"/>
        <v>20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5"/>
      <c r="V11" s="5"/>
      <c r="W11" s="5"/>
      <c r="X11" s="5"/>
      <c r="Y11" s="5"/>
      <c r="Z11" s="5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ht="72" customHeight="1" x14ac:dyDescent="0.2">
      <c r="A12" s="2" t="s">
        <v>16</v>
      </c>
      <c r="B12" s="3" t="s">
        <v>34</v>
      </c>
      <c r="C12" s="8" t="s">
        <v>35</v>
      </c>
      <c r="D12" s="8">
        <v>6</v>
      </c>
      <c r="E12" s="8">
        <f>MAX(F6,F11)+1</f>
        <v>21</v>
      </c>
      <c r="F12" s="9">
        <f t="shared" si="0"/>
        <v>26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  <c r="AB12" s="5"/>
      <c r="AC12" s="5"/>
      <c r="AD12" s="5"/>
      <c r="AE12" s="5"/>
      <c r="AF12" s="5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ht="72" customHeight="1" x14ac:dyDescent="0.2">
      <c r="A13" s="2" t="s">
        <v>17</v>
      </c>
      <c r="B13" s="3" t="s">
        <v>36</v>
      </c>
      <c r="C13" s="8" t="s">
        <v>37</v>
      </c>
      <c r="D13" s="8">
        <v>5</v>
      </c>
      <c r="E13" s="8">
        <f>MAX(F10,F12)+1</f>
        <v>27</v>
      </c>
      <c r="F13" s="9">
        <f t="shared" si="0"/>
        <v>31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5"/>
      <c r="AH13" s="5"/>
      <c r="AI13" s="5"/>
      <c r="AJ13" s="5"/>
      <c r="AK13" s="5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ht="72" customHeight="1" x14ac:dyDescent="0.2">
      <c r="A14" s="2" t="s">
        <v>18</v>
      </c>
      <c r="B14" s="3" t="s">
        <v>38</v>
      </c>
      <c r="C14" s="8" t="s">
        <v>39</v>
      </c>
      <c r="D14" s="8">
        <v>6</v>
      </c>
      <c r="E14" s="8">
        <f>MAX(F10,F11)+1</f>
        <v>22</v>
      </c>
      <c r="F14" s="9">
        <f t="shared" si="0"/>
        <v>27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6"/>
      <c r="AC14" s="6"/>
      <c r="AD14" s="6"/>
      <c r="AE14" s="6"/>
      <c r="AF14" s="6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ht="72" customHeight="1" x14ac:dyDescent="0.2">
      <c r="A15" s="2" t="s">
        <v>19</v>
      </c>
      <c r="B15" s="3" t="s">
        <v>40</v>
      </c>
      <c r="C15" s="8" t="s">
        <v>41</v>
      </c>
      <c r="D15" s="8">
        <v>4</v>
      </c>
      <c r="E15" s="8">
        <f>MAX(F12,F13,F14)+1</f>
        <v>32</v>
      </c>
      <c r="F15" s="9">
        <f t="shared" si="0"/>
        <v>35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5"/>
      <c r="AM15" s="5"/>
      <c r="AN15" s="5"/>
      <c r="AO15" s="5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72" customHeight="1" x14ac:dyDescent="0.2">
      <c r="A16" s="2" t="s">
        <v>20</v>
      </c>
      <c r="B16" s="3" t="s">
        <v>42</v>
      </c>
      <c r="C16" s="8" t="s">
        <v>19</v>
      </c>
      <c r="D16" s="8">
        <v>6</v>
      </c>
      <c r="E16" s="8">
        <f>MAX(F15)+1</f>
        <v>36</v>
      </c>
      <c r="F16" s="9">
        <f t="shared" si="0"/>
        <v>41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  <c r="AQ16" s="5"/>
      <c r="AR16" s="5"/>
      <c r="AS16" s="5"/>
      <c r="AT16" s="5"/>
      <c r="AU16" s="5"/>
      <c r="AV16" s="4"/>
      <c r="AW16" s="4"/>
      <c r="AX16" s="4"/>
    </row>
    <row r="17" spans="1:50" ht="72" customHeight="1" x14ac:dyDescent="0.2">
      <c r="A17" s="2" t="s">
        <v>21</v>
      </c>
      <c r="B17" s="3" t="s">
        <v>43</v>
      </c>
      <c r="C17" s="8" t="s">
        <v>20</v>
      </c>
      <c r="D17" s="8">
        <v>3</v>
      </c>
      <c r="E17" s="8">
        <f>MAX(F16)+1</f>
        <v>42</v>
      </c>
      <c r="F17" s="9">
        <f t="shared" si="0"/>
        <v>44</v>
      </c>
      <c r="G17" s="4" t="s">
        <v>44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5"/>
      <c r="AW17" s="5"/>
      <c r="AX17" s="5"/>
    </row>
  </sheetData>
  <conditionalFormatting sqref="G2:AX16">
    <cfRule type="expression" dxfId="3" priority="1">
      <formula>AND(AND(G$4&gt;=$E2,G$4&lt;=$F2),OR($A2="T1",$A2="T2",$A2="T3",$A2="T7",$A2="T9",$A2="T10",$A2="T11",$A2="T13",$A2="T14",$A2="T15"))</formula>
    </cfRule>
    <cfRule type="expression" dxfId="2" priority="2">
      <formula>AND(G$4&gt;=$E2,G$4&lt;=$F2)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 Raza</dc:creator>
  <cp:lastModifiedBy>Muhammad Ahmad Raza</cp:lastModifiedBy>
  <cp:lastPrinted>2026-10-13T15:15:30Z</cp:lastPrinted>
  <dcterms:created xsi:type="dcterms:W3CDTF">2026-10-13T14:45:43Z</dcterms:created>
  <dcterms:modified xsi:type="dcterms:W3CDTF">2026-10-13T15:19:58Z</dcterms:modified>
</cp:coreProperties>
</file>